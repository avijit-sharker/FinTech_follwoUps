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ll_Log" sheetId="2" state="visible" r:id="rId4"/>
    <sheet name="Follow_Up_Queue" sheetId="3" state="visible" r:id="rId5"/>
  </sheets>
  <definedNames>
    <definedName function="false" hidden="true" localSheetId="1" name="_xlnm._FilterDatabase" vbProcedure="false">Call_Log!$B$2:$M$22</definedName>
    <definedName function="false" hidden="false" localSheetId="0" name="_xlnm.Print_Area" vbProcedure="false">Dashboard!$B$2:$L$40</definedName>
    <definedName function="false" hidden="true" localSheetId="2" name="_xlnm._FilterDatabase" vbProcedure="false">Follow_Up_Queue!$B$3:$I$23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<sst xmlns="http://schemas.openxmlformats.org/spreadsheetml/2006/main" count="212" uniqueCount="112">
  <si>
    <t xml:space="preserve">CallFollow — Outbound Call &amp; Follow-Up Dashboard</t>
  </si>
  <si>
    <t xml:space="preserve">Live KPIs from Call_Log. Follow-up status auto-updates with Excel's TODAY() function.</t>
  </si>
  <si>
    <t xml:space="preserve">TOTAL CALLS LOGGED</t>
  </si>
  <si>
    <t xml:space="preserve">FOLLOW-UPS DUE TODAY</t>
  </si>
  <si>
    <t xml:space="preserve">OVERDUE FOLLOW-UPS</t>
  </si>
  <si>
    <t xml:space="preserve">CONVERSION RATE</t>
  </si>
  <si>
    <t xml:space="preserve">CALLS TODAY</t>
  </si>
  <si>
    <t xml:space="preserve">INTERESTED</t>
  </si>
  <si>
    <t xml:space="preserve">VOICEMAILS LEFT</t>
  </si>
  <si>
    <t xml:space="preserve">DO NOT CALL</t>
  </si>
  <si>
    <t xml:space="preserve">Calls by Outcome</t>
  </si>
  <si>
    <t xml:space="preserve">Follow-Up Status</t>
  </si>
  <si>
    <t xml:space="preserve">Calls by Campaign</t>
  </si>
  <si>
    <t xml:space="preserve">No Answer</t>
  </si>
  <si>
    <t xml:space="preserve">Overdue</t>
  </si>
  <si>
    <t xml:space="preserve">Credit Card Promo</t>
  </si>
  <si>
    <t xml:space="preserve">Left Voicemail</t>
  </si>
  <si>
    <t xml:space="preserve">Due Today</t>
  </si>
  <si>
    <t xml:space="preserve">CD Rate Campaign</t>
  </si>
  <si>
    <t xml:space="preserve">Callback Scheduled</t>
  </si>
  <si>
    <t xml:space="preserve">Upcoming</t>
  </si>
  <si>
    <t xml:space="preserve">Mortgage Refi</t>
  </si>
  <si>
    <t xml:space="preserve">Interested</t>
  </si>
  <si>
    <t xml:space="preserve">Completed</t>
  </si>
  <si>
    <t xml:space="preserve">Wealth Management Intro</t>
  </si>
  <si>
    <t xml:space="preserve">Not Interested</t>
  </si>
  <si>
    <t xml:space="preserve">None</t>
  </si>
  <si>
    <t xml:space="preserve">Digital Banking Onboarding</t>
  </si>
  <si>
    <t xml:space="preserve">Converted</t>
  </si>
  <si>
    <t xml:space="preserve">Do Not Call</t>
  </si>
  <si>
    <t xml:space="preserve">Note: Follow-Up Status uses Excel TODAY() and updates automatically. Edit Call_Log to add calls. See Follow_Up_Queue sheet for the prioritized callback list.</t>
  </si>
  <si>
    <t xml:space="preserve">Client Name</t>
  </si>
  <si>
    <t xml:space="preserve">Phone</t>
  </si>
  <si>
    <t xml:space="preserve">Campaign</t>
  </si>
  <si>
    <t xml:space="preserve">Call Date</t>
  </si>
  <si>
    <t xml:space="preserve">Call Type</t>
  </si>
  <si>
    <t xml:space="preserve">Outcome</t>
  </si>
  <si>
    <t xml:space="preserve">Follow-Up Date</t>
  </si>
  <si>
    <t xml:space="preserve">Priority</t>
  </si>
  <si>
    <t xml:space="preserve">Assigned To</t>
  </si>
  <si>
    <t xml:space="preserve">Notes</t>
  </si>
  <si>
    <t xml:space="preserve">Days Overdue</t>
  </si>
  <si>
    <t xml:space="preserve">Maria Gonzalez</t>
  </si>
  <si>
    <t xml:space="preserve">(267) 555-0142</t>
  </si>
  <si>
    <t xml:space="preserve">Outbound Sales</t>
  </si>
  <si>
    <t xml:space="preserve">Medium</t>
  </si>
  <si>
    <t xml:space="preserve">A. Rivera</t>
  </si>
  <si>
    <t xml:space="preserve">Left voicemail re: cash-back card offer.</t>
  </si>
  <si>
    <t xml:space="preserve">James Whitfield</t>
  </si>
  <si>
    <t xml:space="preserve">(215) 555-0198</t>
  </si>
  <si>
    <t xml:space="preserve">Promotion</t>
  </si>
  <si>
    <t xml:space="preserve">High</t>
  </si>
  <si>
    <t xml:space="preserve">M. Chen</t>
  </si>
  <si>
    <t xml:space="preserve">Interested in 12-mo CD; sent rates.</t>
  </si>
  <si>
    <t xml:space="preserve">Priya Patel</t>
  </si>
  <si>
    <t xml:space="preserve">(610) 555-0173</t>
  </si>
  <si>
    <t xml:space="preserve">S. Patel</t>
  </si>
  <si>
    <t xml:space="preserve">Callback scheduled for today re: refi.</t>
  </si>
  <si>
    <t xml:space="preserve">Robert Coleman</t>
  </si>
  <si>
    <t xml:space="preserve">(484) 555-0119</t>
  </si>
  <si>
    <t xml:space="preserve">Low</t>
  </si>
  <si>
    <t xml:space="preserve">No answer, will retry.</t>
  </si>
  <si>
    <t xml:space="preserve">Sarah O'Brien</t>
  </si>
  <si>
    <t xml:space="preserve">(215) 555-0167</t>
  </si>
  <si>
    <t xml:space="preserve">Converted — onboarded to mobile app.</t>
  </si>
  <si>
    <t xml:space="preserve">Daniel Kim</t>
  </si>
  <si>
    <t xml:space="preserve">(267) 555-0184</t>
  </si>
  <si>
    <t xml:space="preserve">Voicemail; 2nd attempt.</t>
  </si>
  <si>
    <t xml:space="preserve">Emily Rodriguez</t>
  </si>
  <si>
    <t xml:space="preserve">(610) 555-0151</t>
  </si>
  <si>
    <t xml:space="preserve">Wants 24-mo CD details emailed.</t>
  </si>
  <si>
    <t xml:space="preserve">Michael Brooks</t>
  </si>
  <si>
    <t xml:space="preserve">(215) 555-0133</t>
  </si>
  <si>
    <t xml:space="preserve">Not interested — rates too high.</t>
  </si>
  <si>
    <t xml:space="preserve">Aisha Williams</t>
  </si>
  <si>
    <t xml:space="preserve">(484) 555-0177</t>
  </si>
  <si>
    <t xml:space="preserve">High-priority callback today; estate planning.</t>
  </si>
  <si>
    <t xml:space="preserve">Thomas Nguyen</t>
  </si>
  <si>
    <t xml:space="preserve">(267) 555-0146</t>
  </si>
  <si>
    <t xml:space="preserve">Voicemail re: digital banking setup.</t>
  </si>
  <si>
    <t xml:space="preserve">Jennifer Carter</t>
  </si>
  <si>
    <t xml:space="preserve">(215) 555-0192</t>
  </si>
  <si>
    <t xml:space="preserve">Interested in balance transfer card.</t>
  </si>
  <si>
    <t xml:space="preserve">David Schmidt</t>
  </si>
  <si>
    <t xml:space="preserve">(610) 555-0125</t>
  </si>
  <si>
    <t xml:space="preserve">Asked to be removed from CD list.</t>
  </si>
  <si>
    <t xml:space="preserve">Linda Martinez</t>
  </si>
  <si>
    <t xml:space="preserve">(484) 555-0188</t>
  </si>
  <si>
    <t xml:space="preserve">No answer; refi follow-up tomorrow.</t>
  </si>
  <si>
    <t xml:space="preserve">Kevin O'Connor</t>
  </si>
  <si>
    <t xml:space="preserve">(267) 555-0111</t>
  </si>
  <si>
    <t xml:space="preserve">Interested in advisory consult.</t>
  </si>
  <si>
    <t xml:space="preserve">Rachel Goldman</t>
  </si>
  <si>
    <t xml:space="preserve">(215) 555-0159</t>
  </si>
  <si>
    <t xml:space="preserve">Callback today re: online statements.</t>
  </si>
  <si>
    <t xml:space="preserve">Carlos Rivera</t>
  </si>
  <si>
    <t xml:space="preserve">(610) 555-0140</t>
  </si>
  <si>
    <t xml:space="preserve">Converted — approved for credit card.</t>
  </si>
  <si>
    <t xml:space="preserve">Nicole Anderson</t>
  </si>
  <si>
    <t xml:space="preserve">(484) 555-0163</t>
  </si>
  <si>
    <t xml:space="preserve">Voicemail; CD ladder interest.</t>
  </si>
  <si>
    <t xml:space="preserve">Brian Sullivan</t>
  </si>
  <si>
    <t xml:space="preserve">(267) 555-0170</t>
  </si>
  <si>
    <t xml:space="preserve">No answer; refi callback today.</t>
  </si>
  <si>
    <t xml:space="preserve">Sophia Lee</t>
  </si>
  <si>
    <t xml:space="preserve">(215) 555-0129</t>
  </si>
  <si>
    <t xml:space="preserve">Wants wealth mgmt brochures.</t>
  </si>
  <si>
    <t xml:space="preserve">Marcus Johnson</t>
  </si>
  <si>
    <t xml:space="preserve">(610) 555-0186</t>
  </si>
  <si>
    <t xml:space="preserve">Voicemail re: bill pay setup.</t>
  </si>
  <si>
    <t xml:space="preserve">Follow-Up Queue — due today &amp; overdue (live formulas)</t>
  </si>
  <si>
    <t xml:space="preserve">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</si>
</sst>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9"/>
      <color rgb="FF7A7974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color rgb="FF28251D"/>
      <name val="Calibri"/>
      <family val="0"/>
      <charset val="1"/>
    </font>
    <font>
      <sz val="9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F3864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/>
      <diagonal/>
    </border>
    <border diagonalUp="false" diagonalDown="false">
      <left style="thin">
        <color rgb="FFD4D1CA"/>
      </left>
      <right style="thin">
        <color rgb="FFD4D1CA"/>
      </right>
      <top/>
      <bottom/>
      <diagonal/>
    </border>
    <border diagonalUp="false" diagonalDown="false">
      <left style="thin">
        <color rgb="FFD4D1CA"/>
      </left>
      <right style="thin">
        <color rgb="FFD4D1CA"/>
      </right>
      <top/>
      <bottom style="thin">
        <color rgb="FFD4D1CA"/>
      </bottom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8251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C0504D"/>
      <rgbColor rgb="FFEE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7A7974"/>
      <rgbColor rgb="FF1F3864"/>
      <rgbColor rgb="FF339966"/>
      <rgbColor rgb="FF003300"/>
      <rgbColor rgb="FF333300"/>
      <rgbColor rgb="FFA84B2F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Calls by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Dashboard!$C$15:$C$21</c:f>
              <c:strCache>
                <c:ptCount val="7"/>
                <c:pt idx="0">
                  <c:v>No Answer</c:v>
                </c:pt>
                <c:pt idx="1">
                  <c:v>Left Voicemail</c:v>
                </c:pt>
                <c:pt idx="2">
                  <c:v>Callback Scheduled</c:v>
                </c:pt>
                <c:pt idx="3">
                  <c:v>Interested</c:v>
                </c:pt>
                <c:pt idx="4">
                  <c:v>Not Interested</c:v>
                </c:pt>
                <c:pt idx="5">
                  <c:v>Converted</c:v>
                </c:pt>
                <c:pt idx="6">
                  <c:v>Do Not Call</c:v>
                </c:pt>
              </c:strCache>
            </c:strRef>
          </c:cat>
          <c:val>
            <c:numRef>
              <c:f>Dashboard!$D$15:$D$21</c:f>
              <c:numCache>
                <c:formatCode>0</c:formatCode>
                <c:ptCount val="7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79099373"/>
        <c:axId val="26999288"/>
      </c:barChart>
      <c:catAx>
        <c:axId val="790993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999288"/>
        <c:crosses val="autoZero"/>
        <c:auto val="1"/>
        <c:lblAlgn val="ctr"/>
        <c:lblOffset val="100"/>
        <c:noMultiLvlLbl val="0"/>
      </c:catAx>
      <c:valAx>
        <c:axId val="2699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0993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Follow-Up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Dashboard!$F$15:$F$19</c:f>
              <c:strCache>
                <c:ptCount val="5"/>
                <c:pt idx="0">
                  <c:v>Overdue</c:v>
                </c:pt>
                <c:pt idx="1">
                  <c:v>Due Today</c:v>
                </c:pt>
                <c:pt idx="2">
                  <c:v>Upcoming</c:v>
                </c:pt>
                <c:pt idx="3">
                  <c:v>Completed</c:v>
                </c:pt>
                <c:pt idx="4">
                  <c:v>None</c:v>
                </c:pt>
              </c:strCache>
            </c:strRef>
          </c:cat>
          <c:val>
            <c:numRef>
              <c:f>Dashboard!$G$15:$G$19</c:f>
              <c:numCache>
                <c:formatCode>0</c:formatCode>
                <c:ptCount val="5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Calls by Campaign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A84B2F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Dashboard!$I$15:$I$19</c:f>
              <c:strCache>
                <c:ptCount val="5"/>
                <c:pt idx="0">
                  <c:v>Credit Card Promo</c:v>
                </c:pt>
                <c:pt idx="1">
                  <c:v>CD Rate Campaign</c:v>
                </c:pt>
                <c:pt idx="2">
                  <c:v>Mortgage Refi</c:v>
                </c:pt>
                <c:pt idx="3">
                  <c:v>Wealth Management Intro</c:v>
                </c:pt>
                <c:pt idx="4">
                  <c:v>Digital Banking Onboarding</c:v>
                </c:pt>
              </c:strCache>
            </c:strRef>
          </c:cat>
          <c:val>
            <c:numRef>
              <c:f>Dashboard!$J$15:$J$19</c:f>
              <c:numCache>
                <c:formatCode>0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65832883"/>
        <c:axId val="78430173"/>
      </c:barChart>
      <c:catAx>
        <c:axId val="658328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430173"/>
        <c:crosses val="autoZero"/>
        <c:auto val="1"/>
        <c:lblAlgn val="ctr"/>
        <c:lblOffset val="100"/>
        <c:noMultiLvlLbl val="0"/>
      </c:catAx>
      <c:valAx>
        <c:axId val="78430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8328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23</xdr:row>
      <xdr:rowOff>0</xdr:rowOff>
    </xdr:from>
    <xdr:to>
      <xdr:col>3</xdr:col>
      <xdr:colOff>1548000</xdr:colOff>
      <xdr:row>36</xdr:row>
      <xdr:rowOff>43200</xdr:rowOff>
    </xdr:to>
    <xdr:graphicFrame>
      <xdr:nvGraphicFramePr>
        <xdr:cNvPr id="1" name="Chart 1"/>
        <xdr:cNvGraphicFramePr/>
      </xdr:nvGraphicFramePr>
      <xdr:xfrm>
        <a:off x="2818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702000</xdr:colOff>
      <xdr:row>36</xdr:row>
      <xdr:rowOff>43200</xdr:rowOff>
    </xdr:to>
    <xdr:graphicFrame>
      <xdr:nvGraphicFramePr>
        <xdr:cNvPr id="2" name="Chart 2"/>
        <xdr:cNvGraphicFramePr/>
      </xdr:nvGraphicFramePr>
      <xdr:xfrm>
        <a:off x="493380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11</xdr:col>
      <xdr:colOff>90720</xdr:colOff>
      <xdr:row>36</xdr:row>
      <xdr:rowOff>43200</xdr:rowOff>
    </xdr:to>
    <xdr:graphicFrame>
      <xdr:nvGraphicFramePr>
        <xdr:cNvPr id="3" name="Chart 3"/>
        <xdr:cNvGraphicFramePr/>
      </xdr:nvGraphicFramePr>
      <xdr:xfrm>
        <a:off x="8740080" y="45295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allLog" displayName="CallLog" ref="B2:M22" headerRowCount="1" totalsRowCount="0" totalsRowShown="0">
  <autoFilter ref="B2:M22"/>
  <tableColumns count="12">
    <tableColumn id="1" name="Client Name"/>
    <tableColumn id="2" name="Phone"/>
    <tableColumn id="3" name="Campaign"/>
    <tableColumn id="4" name="Call Date"/>
    <tableColumn id="5" name="Call Type"/>
    <tableColumn id="6" name="Outcome"/>
    <tableColumn id="7" name="Follow-Up Date"/>
    <tableColumn id="8" name="Priority"/>
    <tableColumn id="9" name="Assigned To"/>
    <tableColumn id="10" name="Notes"/>
    <tableColumn id="11" name="Follow-Up Status"/>
    <tableColumn id="12" name="Days Overdu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4" min="3" style="0" width="24"/>
    <col collapsed="false" customWidth="true" hidden="false" outlineLevel="0" max="10" min="5" style="0" width="18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C5" s="3" t="s">
        <v>2</v>
      </c>
      <c r="D5" s="3"/>
      <c r="E5" s="3" t="s">
        <v>3</v>
      </c>
      <c r="F5" s="3"/>
      <c r="G5" s="3" t="s">
        <v>4</v>
      </c>
      <c r="H5" s="3"/>
      <c r="I5" s="3" t="s">
        <v>5</v>
      </c>
      <c r="J5" s="3"/>
    </row>
    <row r="6" customFormat="false" ht="15" hidden="false" customHeight="false" outlineLevel="0" collapsed="false">
      <c r="C6" s="4" t="n">
        <f aca="false">COUNTA(Call_Log!B3:B22)</f>
        <v>20</v>
      </c>
      <c r="D6" s="4"/>
      <c r="E6" s="4" t="n">
        <f aca="false">COUNTIF(Call_Log!L3:L22,"Due Today")</f>
        <v>4</v>
      </c>
      <c r="F6" s="4"/>
      <c r="G6" s="4" t="n">
        <f aca="false">COUNTIF(Call_Log!L3:L22,"Overdue")</f>
        <v>3</v>
      </c>
      <c r="H6" s="4"/>
      <c r="I6" s="5" t="n">
        <f aca="false">COUNTIF(Call_Log!G3:G22,"Converted")/COUNTA(Call_Log!B3:B22)</f>
        <v>0.1</v>
      </c>
      <c r="J6" s="5"/>
    </row>
    <row r="7" customFormat="false" ht="15" hidden="false" customHeight="false" outlineLevel="0" collapsed="false">
      <c r="C7" s="4"/>
      <c r="D7" s="4"/>
      <c r="E7" s="4"/>
      <c r="F7" s="4"/>
      <c r="G7" s="4"/>
      <c r="H7" s="4"/>
      <c r="I7" s="5"/>
      <c r="J7" s="5"/>
    </row>
    <row r="8" customFormat="false" ht="15" hidden="false" customHeight="false" outlineLevel="0" collapsed="false"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C9" s="3" t="s">
        <v>6</v>
      </c>
      <c r="D9" s="3"/>
      <c r="E9" s="3" t="s">
        <v>7</v>
      </c>
      <c r="F9" s="3"/>
      <c r="G9" s="3" t="s">
        <v>8</v>
      </c>
      <c r="H9" s="3"/>
      <c r="I9" s="3" t="s">
        <v>9</v>
      </c>
      <c r="J9" s="3"/>
    </row>
    <row r="10" customFormat="false" ht="15" hidden="false" customHeight="false" outlineLevel="0" collapsed="false">
      <c r="C10" s="4" t="n">
        <f aca="true">COUNTIF(Call_Log!E3:E22,TODAY())</f>
        <v>0</v>
      </c>
      <c r="D10" s="4"/>
      <c r="E10" s="4" t="n">
        <f aca="false">COUNTIF(Call_Log!G3:G22,"Interested")</f>
        <v>5</v>
      </c>
      <c r="F10" s="4"/>
      <c r="G10" s="4" t="n">
        <f aca="false">COUNTIF(Call_Log!G3:G22,"Left Voicemail")</f>
        <v>5</v>
      </c>
      <c r="H10" s="4"/>
      <c r="I10" s="4" t="n">
        <f aca="false">COUNTIF(Call_Log!G3:G22,"Do Not Call")</f>
        <v>1</v>
      </c>
      <c r="J10" s="4"/>
    </row>
    <row r="11" customFormat="false" ht="15" hidden="false" customHeight="false" outlineLevel="0" collapsed="false"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C12" s="6"/>
      <c r="D12" s="6"/>
      <c r="E12" s="6"/>
      <c r="F12" s="6"/>
      <c r="G12" s="6"/>
      <c r="H12" s="6"/>
      <c r="I12" s="6"/>
      <c r="J12" s="6"/>
    </row>
    <row r="14" customFormat="false" ht="16.15" hidden="false" customHeight="false" outlineLevel="0" collapsed="false">
      <c r="C14" s="7" t="s">
        <v>10</v>
      </c>
      <c r="D14" s="7"/>
      <c r="F14" s="7" t="s">
        <v>11</v>
      </c>
      <c r="G14" s="7"/>
      <c r="I14" s="7" t="s">
        <v>12</v>
      </c>
      <c r="J14" s="7"/>
    </row>
    <row r="15" customFormat="false" ht="15" hidden="false" customHeight="false" outlineLevel="0" collapsed="false">
      <c r="C15" s="8" t="s">
        <v>13</v>
      </c>
      <c r="D15" s="9" t="n">
        <f aca="false">COUNTIF(Call_Log!G3:G22,C15)</f>
        <v>3</v>
      </c>
      <c r="F15" s="8" t="s">
        <v>14</v>
      </c>
      <c r="G15" s="9" t="n">
        <f aca="false">COUNTIF(Call_Log!L3:L22,F15)</f>
        <v>3</v>
      </c>
      <c r="I15" s="8" t="s">
        <v>15</v>
      </c>
      <c r="J15" s="9" t="n">
        <f aca="false">COUNTIF(Call_Log!D3:D22,I15)</f>
        <v>4</v>
      </c>
    </row>
    <row r="16" customFormat="false" ht="15" hidden="false" customHeight="false" outlineLevel="0" collapsed="false">
      <c r="C16" s="8" t="s">
        <v>16</v>
      </c>
      <c r="D16" s="9" t="n">
        <f aca="false">COUNTIF(Call_Log!G3:G22,C16)</f>
        <v>5</v>
      </c>
      <c r="F16" s="8" t="s">
        <v>17</v>
      </c>
      <c r="G16" s="9" t="n">
        <f aca="false">COUNTIF(Call_Log!L3:L22,F16)</f>
        <v>4</v>
      </c>
      <c r="I16" s="8" t="s">
        <v>18</v>
      </c>
      <c r="J16" s="9" t="n">
        <f aca="false">COUNTIF(Call_Log!D3:D22,I16)</f>
        <v>4</v>
      </c>
    </row>
    <row r="17" customFormat="false" ht="15" hidden="false" customHeight="false" outlineLevel="0" collapsed="false">
      <c r="C17" s="8" t="s">
        <v>19</v>
      </c>
      <c r="D17" s="9" t="n">
        <f aca="false">COUNTIF(Call_Log!G3:G22,C17)</f>
        <v>3</v>
      </c>
      <c r="F17" s="8" t="s">
        <v>20</v>
      </c>
      <c r="G17" s="9" t="n">
        <f aca="false">COUNTIF(Call_Log!L3:L22,F17)</f>
        <v>8</v>
      </c>
      <c r="I17" s="8" t="s">
        <v>21</v>
      </c>
      <c r="J17" s="9" t="n">
        <f aca="false">COUNTIF(Call_Log!D3:D22,I17)</f>
        <v>4</v>
      </c>
    </row>
    <row r="18" customFormat="false" ht="15" hidden="false" customHeight="false" outlineLevel="0" collapsed="false">
      <c r="C18" s="8" t="s">
        <v>22</v>
      </c>
      <c r="D18" s="9" t="n">
        <f aca="false">COUNTIF(Call_Log!G3:G22,C18)</f>
        <v>5</v>
      </c>
      <c r="F18" s="8" t="s">
        <v>23</v>
      </c>
      <c r="G18" s="9" t="n">
        <f aca="false">COUNTIF(Call_Log!L3:L22,F18)</f>
        <v>3</v>
      </c>
      <c r="I18" s="8" t="s">
        <v>24</v>
      </c>
      <c r="J18" s="9" t="n">
        <f aca="false">COUNTIF(Call_Log!D3:D22,I18)</f>
        <v>4</v>
      </c>
    </row>
    <row r="19" customFormat="false" ht="15" hidden="false" customHeight="false" outlineLevel="0" collapsed="false">
      <c r="C19" s="8" t="s">
        <v>25</v>
      </c>
      <c r="D19" s="9" t="n">
        <f aca="false">COUNTIF(Call_Log!G3:G22,C19)</f>
        <v>1</v>
      </c>
      <c r="F19" s="8" t="s">
        <v>26</v>
      </c>
      <c r="G19" s="9" t="n">
        <f aca="false">COUNTIF(Call_Log!L3:L22,F19)</f>
        <v>2</v>
      </c>
      <c r="I19" s="8" t="s">
        <v>27</v>
      </c>
      <c r="J19" s="9" t="n">
        <f aca="false">COUNTIF(Call_Log!D3:D22,I19)</f>
        <v>4</v>
      </c>
    </row>
    <row r="20" customFormat="false" ht="15" hidden="false" customHeight="false" outlineLevel="0" collapsed="false">
      <c r="C20" s="8" t="s">
        <v>28</v>
      </c>
      <c r="D20" s="9" t="n">
        <f aca="false">COUNTIF(Call_Log!G3:G22,C20)</f>
        <v>2</v>
      </c>
    </row>
    <row r="21" customFormat="false" ht="15" hidden="false" customHeight="false" outlineLevel="0" collapsed="false">
      <c r="C21" s="8" t="s">
        <v>29</v>
      </c>
      <c r="D21" s="9" t="n">
        <f aca="false">COUNTIF(Call_Log!G3:G22,C21)</f>
        <v>1</v>
      </c>
    </row>
    <row r="40" customFormat="false" ht="15" hidden="false" customHeight="false" outlineLevel="0" collapsed="false">
      <c r="C40" s="10" t="s">
        <v>30</v>
      </c>
      <c r="D40" s="10"/>
      <c r="E40" s="10"/>
      <c r="F40" s="10"/>
      <c r="G40" s="10"/>
      <c r="H40" s="10"/>
      <c r="I40" s="10"/>
      <c r="J40" s="10"/>
      <c r="K40" s="10"/>
      <c r="L40" s="10"/>
    </row>
  </sheetData>
  <mergeCells count="30">
    <mergeCell ref="B2:J2"/>
    <mergeCell ref="B3:J3"/>
    <mergeCell ref="C5:D5"/>
    <mergeCell ref="E5:F5"/>
    <mergeCell ref="G5:H5"/>
    <mergeCell ref="I5:J5"/>
    <mergeCell ref="C6:D7"/>
    <mergeCell ref="E6:F7"/>
    <mergeCell ref="G6:H7"/>
    <mergeCell ref="I6:J7"/>
    <mergeCell ref="C8:D8"/>
    <mergeCell ref="E8:F8"/>
    <mergeCell ref="G8:H8"/>
    <mergeCell ref="I8:J8"/>
    <mergeCell ref="C9:D9"/>
    <mergeCell ref="E9:F9"/>
    <mergeCell ref="G9:H9"/>
    <mergeCell ref="I9:J9"/>
    <mergeCell ref="C10:D11"/>
    <mergeCell ref="E10:F11"/>
    <mergeCell ref="G10:H11"/>
    <mergeCell ref="I10:J11"/>
    <mergeCell ref="C12:D12"/>
    <mergeCell ref="E12:F12"/>
    <mergeCell ref="G12:H12"/>
    <mergeCell ref="I12:J12"/>
    <mergeCell ref="C14:D14"/>
    <mergeCell ref="F14:G14"/>
    <mergeCell ref="I14:J14"/>
    <mergeCell ref="C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12"/>
  </cols>
  <sheetData>
    <row r="2" customFormat="false" ht="15" hidden="false" customHeight="false" outlineLevel="0" collapsed="false">
      <c r="B2" s="11" t="s">
        <v>31</v>
      </c>
      <c r="C2" s="11" t="s">
        <v>32</v>
      </c>
      <c r="D2" s="11" t="s">
        <v>33</v>
      </c>
      <c r="E2" s="11" t="s">
        <v>34</v>
      </c>
      <c r="F2" s="11" t="s">
        <v>35</v>
      </c>
      <c r="G2" s="11" t="s">
        <v>36</v>
      </c>
      <c r="H2" s="11" t="s">
        <v>37</v>
      </c>
      <c r="I2" s="11" t="s">
        <v>38</v>
      </c>
      <c r="J2" s="11" t="s">
        <v>39</v>
      </c>
      <c r="K2" s="11" t="s">
        <v>40</v>
      </c>
      <c r="L2" s="11" t="s">
        <v>11</v>
      </c>
      <c r="M2" s="11" t="s">
        <v>41</v>
      </c>
    </row>
    <row r="3" customFormat="false" ht="15" hidden="false" customHeight="false" outlineLevel="0" collapsed="false">
      <c r="B3" s="8" t="s">
        <v>42</v>
      </c>
      <c r="C3" s="8" t="s">
        <v>43</v>
      </c>
      <c r="D3" s="8" t="s">
        <v>15</v>
      </c>
      <c r="E3" s="12" t="n">
        <v>46217</v>
      </c>
      <c r="F3" s="8" t="s">
        <v>44</v>
      </c>
      <c r="G3" s="8" t="s">
        <v>16</v>
      </c>
      <c r="H3" s="12" t="n">
        <v>46226</v>
      </c>
      <c r="I3" s="8" t="s">
        <v>45</v>
      </c>
      <c r="J3" s="8" t="s">
        <v>46</v>
      </c>
      <c r="K3" s="8" t="s">
        <v>47</v>
      </c>
      <c r="L3" s="13" t="str">
        <f aca="true">IF(OR(G3="Converted",G3="Do Not Call"),"Completed",IF(H3="","None",IF(H3&lt;TODAY(),"Overdue",IF(H3=TODAY(),"Due Today","Upcoming"))))</f>
        <v>Overdue</v>
      </c>
      <c r="M3" s="13" t="n">
        <f aca="true">IF(L3="Overdue",TODAY()-H3,0)</f>
        <v>3</v>
      </c>
    </row>
    <row r="4" customFormat="false" ht="15" hidden="false" customHeight="false" outlineLevel="0" collapsed="false">
      <c r="B4" s="8" t="s">
        <v>48</v>
      </c>
      <c r="C4" s="8" t="s">
        <v>49</v>
      </c>
      <c r="D4" s="8" t="s">
        <v>18</v>
      </c>
      <c r="E4" s="12" t="n">
        <v>46219</v>
      </c>
      <c r="F4" s="8" t="s">
        <v>50</v>
      </c>
      <c r="G4" s="8" t="s">
        <v>22</v>
      </c>
      <c r="H4" s="12" t="n">
        <v>46228</v>
      </c>
      <c r="I4" s="8" t="s">
        <v>51</v>
      </c>
      <c r="J4" s="8" t="s">
        <v>52</v>
      </c>
      <c r="K4" s="8" t="s">
        <v>53</v>
      </c>
      <c r="L4" s="13" t="str">
        <f aca="true">IF(OR(G4="Converted",G4="Do Not Call"),"Completed",IF(H4="","None",IF(H4&lt;TODAY(),"Overdue",IF(H4=TODAY(),"Due Today","Upcoming"))))</f>
        <v>Overdue</v>
      </c>
      <c r="M4" s="13" t="n">
        <f aca="true">IF(L4="Overdue",TODAY()-H4,0)</f>
        <v>1</v>
      </c>
    </row>
    <row r="5" customFormat="false" ht="15" hidden="false" customHeight="false" outlineLevel="0" collapsed="false">
      <c r="B5" s="8" t="s">
        <v>54</v>
      </c>
      <c r="C5" s="8" t="s">
        <v>55</v>
      </c>
      <c r="D5" s="8" t="s">
        <v>21</v>
      </c>
      <c r="E5" s="12" t="n">
        <v>46220</v>
      </c>
      <c r="F5" s="8" t="s">
        <v>44</v>
      </c>
      <c r="G5" s="8" t="s">
        <v>19</v>
      </c>
      <c r="H5" s="12" t="n">
        <v>46229</v>
      </c>
      <c r="I5" s="8" t="s">
        <v>45</v>
      </c>
      <c r="J5" s="8" t="s">
        <v>56</v>
      </c>
      <c r="K5" s="8" t="s">
        <v>57</v>
      </c>
      <c r="L5" s="13" t="str">
        <f aca="true">IF(OR(G5="Converted",G5="Do Not Call"),"Completed",IF(H5="","None",IF(H5&lt;TODAY(),"Overdue",IF(H5=TODAY(),"Due Today","Upcoming"))))</f>
        <v>Due Today</v>
      </c>
      <c r="M5" s="13" t="n">
        <f aca="true">IF(L5="Overdue",TODAY()-H5,0)</f>
        <v>0</v>
      </c>
    </row>
    <row r="6" customFormat="false" ht="15" hidden="false" customHeight="false" outlineLevel="0" collapsed="false">
      <c r="B6" s="8" t="s">
        <v>58</v>
      </c>
      <c r="C6" s="8" t="s">
        <v>59</v>
      </c>
      <c r="D6" s="8" t="s">
        <v>24</v>
      </c>
      <c r="E6" s="12" t="n">
        <v>46221</v>
      </c>
      <c r="F6" s="8" t="s">
        <v>50</v>
      </c>
      <c r="G6" s="8" t="s">
        <v>13</v>
      </c>
      <c r="H6" s="12"/>
      <c r="I6" s="8" t="s">
        <v>60</v>
      </c>
      <c r="J6" s="8" t="s">
        <v>46</v>
      </c>
      <c r="K6" s="8" t="s">
        <v>61</v>
      </c>
      <c r="L6" s="13" t="str">
        <f aca="true">IF(OR(G6="Converted",G6="Do Not Call"),"Completed",IF(H6="","None",IF(H6&lt;TODAY(),"Overdue",IF(H6=TODAY(),"Due Today","Upcoming"))))</f>
        <v>None</v>
      </c>
      <c r="M6" s="13" t="n">
        <f aca="true">IF(L6="Overdue",TODAY()-H6,0)</f>
        <v>0</v>
      </c>
    </row>
    <row r="7" customFormat="false" ht="15" hidden="false" customHeight="false" outlineLevel="0" collapsed="false">
      <c r="B7" s="8" t="s">
        <v>62</v>
      </c>
      <c r="C7" s="8" t="s">
        <v>63</v>
      </c>
      <c r="D7" s="8" t="s">
        <v>27</v>
      </c>
      <c r="E7" s="12" t="n">
        <v>46221</v>
      </c>
      <c r="F7" s="8" t="s">
        <v>44</v>
      </c>
      <c r="G7" s="8" t="s">
        <v>28</v>
      </c>
      <c r="H7" s="12"/>
      <c r="I7" s="8" t="s">
        <v>45</v>
      </c>
      <c r="J7" s="8" t="s">
        <v>52</v>
      </c>
      <c r="K7" s="8" t="s">
        <v>64</v>
      </c>
      <c r="L7" s="13" t="str">
        <f aca="true">IF(OR(G7="Converted",G7="Do Not Call"),"Completed",IF(H7="","None",IF(H7&lt;TODAY(),"Overdue",IF(H7=TODAY(),"Due Today","Upcoming"))))</f>
        <v>Completed</v>
      </c>
      <c r="M7" s="13" t="n">
        <f aca="true">IF(L7="Overdue",TODAY()-H7,0)</f>
        <v>0</v>
      </c>
    </row>
    <row r="8" customFormat="false" ht="15" hidden="false" customHeight="false" outlineLevel="0" collapsed="false">
      <c r="B8" s="8" t="s">
        <v>65</v>
      </c>
      <c r="C8" s="8" t="s">
        <v>66</v>
      </c>
      <c r="D8" s="8" t="s">
        <v>15</v>
      </c>
      <c r="E8" s="12" t="n">
        <v>46222</v>
      </c>
      <c r="F8" s="8" t="s">
        <v>44</v>
      </c>
      <c r="G8" s="8" t="s">
        <v>16</v>
      </c>
      <c r="H8" s="12" t="n">
        <v>46230</v>
      </c>
      <c r="I8" s="8" t="s">
        <v>45</v>
      </c>
      <c r="J8" s="8" t="s">
        <v>56</v>
      </c>
      <c r="K8" s="8" t="s">
        <v>67</v>
      </c>
      <c r="L8" s="13" t="str">
        <f aca="true">IF(OR(G8="Converted",G8="Do Not Call"),"Completed",IF(H8="","None",IF(H8&lt;TODAY(),"Overdue",IF(H8=TODAY(),"Due Today","Upcoming"))))</f>
        <v>Upcoming</v>
      </c>
      <c r="M8" s="13" t="n">
        <f aca="true">IF(L8="Overdue",TODAY()-H8,0)</f>
        <v>0</v>
      </c>
    </row>
    <row r="9" customFormat="false" ht="15" hidden="false" customHeight="false" outlineLevel="0" collapsed="false">
      <c r="B9" s="8" t="s">
        <v>68</v>
      </c>
      <c r="C9" s="8" t="s">
        <v>69</v>
      </c>
      <c r="D9" s="8" t="s">
        <v>18</v>
      </c>
      <c r="E9" s="12" t="n">
        <v>46222</v>
      </c>
      <c r="F9" s="8" t="s">
        <v>50</v>
      </c>
      <c r="G9" s="8" t="s">
        <v>22</v>
      </c>
      <c r="H9" s="12" t="n">
        <v>46231</v>
      </c>
      <c r="I9" s="8" t="s">
        <v>51</v>
      </c>
      <c r="J9" s="8" t="s">
        <v>46</v>
      </c>
      <c r="K9" s="8" t="s">
        <v>70</v>
      </c>
      <c r="L9" s="13" t="str">
        <f aca="true">IF(OR(G9="Converted",G9="Do Not Call"),"Completed",IF(H9="","None",IF(H9&lt;TODAY(),"Overdue",IF(H9=TODAY(),"Due Today","Upcoming"))))</f>
        <v>Upcoming</v>
      </c>
      <c r="M9" s="13" t="n">
        <f aca="true">IF(L9="Overdue",TODAY()-H9,0)</f>
        <v>0</v>
      </c>
    </row>
    <row r="10" customFormat="false" ht="15" hidden="false" customHeight="false" outlineLevel="0" collapsed="false">
      <c r="B10" s="8" t="s">
        <v>71</v>
      </c>
      <c r="C10" s="8" t="s">
        <v>72</v>
      </c>
      <c r="D10" s="8" t="s">
        <v>21</v>
      </c>
      <c r="E10" s="12" t="n">
        <v>46223</v>
      </c>
      <c r="F10" s="8" t="s">
        <v>44</v>
      </c>
      <c r="G10" s="8" t="s">
        <v>25</v>
      </c>
      <c r="H10" s="12"/>
      <c r="I10" s="8" t="s">
        <v>60</v>
      </c>
      <c r="J10" s="8" t="s">
        <v>52</v>
      </c>
      <c r="K10" s="8" t="s">
        <v>73</v>
      </c>
      <c r="L10" s="13" t="str">
        <f aca="true">IF(OR(G10="Converted",G10="Do Not Call"),"Completed",IF(H10="","None",IF(H10&lt;TODAY(),"Overdue",IF(H10=TODAY(),"Due Today","Upcoming"))))</f>
        <v>None</v>
      </c>
      <c r="M10" s="13" t="n">
        <f aca="true">IF(L10="Overdue",TODAY()-H10,0)</f>
        <v>0</v>
      </c>
    </row>
    <row r="11" customFormat="false" ht="15" hidden="false" customHeight="false" outlineLevel="0" collapsed="false">
      <c r="B11" s="8" t="s">
        <v>74</v>
      </c>
      <c r="C11" s="8" t="s">
        <v>75</v>
      </c>
      <c r="D11" s="8" t="s">
        <v>24</v>
      </c>
      <c r="E11" s="12" t="n">
        <v>46223</v>
      </c>
      <c r="F11" s="8" t="s">
        <v>50</v>
      </c>
      <c r="G11" s="8" t="s">
        <v>19</v>
      </c>
      <c r="H11" s="12" t="n">
        <v>46229</v>
      </c>
      <c r="I11" s="8" t="s">
        <v>51</v>
      </c>
      <c r="J11" s="8" t="s">
        <v>56</v>
      </c>
      <c r="K11" s="8" t="s">
        <v>76</v>
      </c>
      <c r="L11" s="13" t="str">
        <f aca="true">IF(OR(G11="Converted",G11="Do Not Call"),"Completed",IF(H11="","None",IF(H11&lt;TODAY(),"Overdue",IF(H11=TODAY(),"Due Today","Upcoming"))))</f>
        <v>Due Today</v>
      </c>
      <c r="M11" s="13" t="n">
        <f aca="true">IF(L11="Overdue",TODAY()-H11,0)</f>
        <v>0</v>
      </c>
    </row>
    <row r="12" customFormat="false" ht="15" hidden="false" customHeight="false" outlineLevel="0" collapsed="false">
      <c r="B12" s="8" t="s">
        <v>77</v>
      </c>
      <c r="C12" s="8" t="s">
        <v>78</v>
      </c>
      <c r="D12" s="8" t="s">
        <v>27</v>
      </c>
      <c r="E12" s="12" t="n">
        <v>46224</v>
      </c>
      <c r="F12" s="8" t="s">
        <v>44</v>
      </c>
      <c r="G12" s="8" t="s">
        <v>16</v>
      </c>
      <c r="H12" s="12" t="n">
        <v>46227</v>
      </c>
      <c r="I12" s="8" t="s">
        <v>45</v>
      </c>
      <c r="J12" s="8" t="s">
        <v>46</v>
      </c>
      <c r="K12" s="8" t="s">
        <v>79</v>
      </c>
      <c r="L12" s="13" t="str">
        <f aca="true">IF(OR(G12="Converted",G12="Do Not Call"),"Completed",IF(H12="","None",IF(H12&lt;TODAY(),"Overdue",IF(H12=TODAY(),"Due Today","Upcoming"))))</f>
        <v>Overdue</v>
      </c>
      <c r="M12" s="13" t="n">
        <f aca="true">IF(L12="Overdue",TODAY()-H12,0)</f>
        <v>2</v>
      </c>
    </row>
    <row r="13" customFormat="false" ht="15" hidden="false" customHeight="false" outlineLevel="0" collapsed="false">
      <c r="B13" s="8" t="s">
        <v>80</v>
      </c>
      <c r="C13" s="8" t="s">
        <v>81</v>
      </c>
      <c r="D13" s="8" t="s">
        <v>15</v>
      </c>
      <c r="E13" s="12" t="n">
        <v>46224</v>
      </c>
      <c r="F13" s="8" t="s">
        <v>44</v>
      </c>
      <c r="G13" s="8" t="s">
        <v>22</v>
      </c>
      <c r="H13" s="12" t="n">
        <v>46232</v>
      </c>
      <c r="I13" s="8" t="s">
        <v>45</v>
      </c>
      <c r="J13" s="8" t="s">
        <v>52</v>
      </c>
      <c r="K13" s="8" t="s">
        <v>82</v>
      </c>
      <c r="L13" s="13" t="str">
        <f aca="true">IF(OR(G13="Converted",G13="Do Not Call"),"Completed",IF(H13="","None",IF(H13&lt;TODAY(),"Overdue",IF(H13=TODAY(),"Due Today","Upcoming"))))</f>
        <v>Upcoming</v>
      </c>
      <c r="M13" s="13" t="n">
        <f aca="true">IF(L13="Overdue",TODAY()-H13,0)</f>
        <v>0</v>
      </c>
    </row>
    <row r="14" customFormat="false" ht="15" hidden="false" customHeight="false" outlineLevel="0" collapsed="false">
      <c r="B14" s="8" t="s">
        <v>83</v>
      </c>
      <c r="C14" s="8" t="s">
        <v>84</v>
      </c>
      <c r="D14" s="8" t="s">
        <v>18</v>
      </c>
      <c r="E14" s="12" t="n">
        <v>46225</v>
      </c>
      <c r="F14" s="8" t="s">
        <v>50</v>
      </c>
      <c r="G14" s="8" t="s">
        <v>29</v>
      </c>
      <c r="H14" s="12"/>
      <c r="I14" s="8" t="s">
        <v>60</v>
      </c>
      <c r="J14" s="8" t="s">
        <v>46</v>
      </c>
      <c r="K14" s="8" t="s">
        <v>85</v>
      </c>
      <c r="L14" s="13" t="str">
        <f aca="true">IF(OR(G14="Converted",G14="Do Not Call"),"Completed",IF(H14="","None",IF(H14&lt;TODAY(),"Overdue",IF(H14=TODAY(),"Due Today","Upcoming"))))</f>
        <v>Completed</v>
      </c>
      <c r="M14" s="13" t="n">
        <f aca="true">IF(L14="Overdue",TODAY()-H14,0)</f>
        <v>0</v>
      </c>
    </row>
    <row r="15" customFormat="false" ht="15" hidden="false" customHeight="false" outlineLevel="0" collapsed="false">
      <c r="B15" s="8" t="s">
        <v>86</v>
      </c>
      <c r="C15" s="8" t="s">
        <v>87</v>
      </c>
      <c r="D15" s="8" t="s">
        <v>21</v>
      </c>
      <c r="E15" s="12" t="n">
        <v>46225</v>
      </c>
      <c r="F15" s="8" t="s">
        <v>44</v>
      </c>
      <c r="G15" s="8" t="s">
        <v>13</v>
      </c>
      <c r="H15" s="12" t="n">
        <v>46230</v>
      </c>
      <c r="I15" s="8" t="s">
        <v>45</v>
      </c>
      <c r="J15" s="8" t="s">
        <v>56</v>
      </c>
      <c r="K15" s="8" t="s">
        <v>88</v>
      </c>
      <c r="L15" s="13" t="str">
        <f aca="true">IF(OR(G15="Converted",G15="Do Not Call"),"Completed",IF(H15="","None",IF(H15&lt;TODAY(),"Overdue",IF(H15=TODAY(),"Due Today","Upcoming"))))</f>
        <v>Upcoming</v>
      </c>
      <c r="M15" s="13" t="n">
        <f aca="true">IF(L15="Overdue",TODAY()-H15,0)</f>
        <v>0</v>
      </c>
    </row>
    <row r="16" customFormat="false" ht="15" hidden="false" customHeight="false" outlineLevel="0" collapsed="false">
      <c r="B16" s="8" t="s">
        <v>89</v>
      </c>
      <c r="C16" s="8" t="s">
        <v>90</v>
      </c>
      <c r="D16" s="8" t="s">
        <v>24</v>
      </c>
      <c r="E16" s="12" t="n">
        <v>46226</v>
      </c>
      <c r="F16" s="8" t="s">
        <v>50</v>
      </c>
      <c r="G16" s="8" t="s">
        <v>22</v>
      </c>
      <c r="H16" s="12" t="n">
        <v>46231</v>
      </c>
      <c r="I16" s="8" t="s">
        <v>51</v>
      </c>
      <c r="J16" s="8" t="s">
        <v>46</v>
      </c>
      <c r="K16" s="8" t="s">
        <v>91</v>
      </c>
      <c r="L16" s="13" t="str">
        <f aca="true">IF(OR(G16="Converted",G16="Do Not Call"),"Completed",IF(H16="","None",IF(H16&lt;TODAY(),"Overdue",IF(H16=TODAY(),"Due Today","Upcoming"))))</f>
        <v>Upcoming</v>
      </c>
      <c r="M16" s="13" t="n">
        <f aca="true">IF(L16="Overdue",TODAY()-H16,0)</f>
        <v>0</v>
      </c>
    </row>
    <row r="17" customFormat="false" ht="15" hidden="false" customHeight="false" outlineLevel="0" collapsed="false">
      <c r="B17" s="8" t="s">
        <v>92</v>
      </c>
      <c r="C17" s="8" t="s">
        <v>93</v>
      </c>
      <c r="D17" s="8" t="s">
        <v>27</v>
      </c>
      <c r="E17" s="12" t="n">
        <v>46226</v>
      </c>
      <c r="F17" s="8" t="s">
        <v>44</v>
      </c>
      <c r="G17" s="8" t="s">
        <v>19</v>
      </c>
      <c r="H17" s="12" t="n">
        <v>46229</v>
      </c>
      <c r="I17" s="8" t="s">
        <v>45</v>
      </c>
      <c r="J17" s="8" t="s">
        <v>52</v>
      </c>
      <c r="K17" s="8" t="s">
        <v>94</v>
      </c>
      <c r="L17" s="13" t="str">
        <f aca="true">IF(OR(G17="Converted",G17="Do Not Call"),"Completed",IF(H17="","None",IF(H17&lt;TODAY(),"Overdue",IF(H17=TODAY(),"Due Today","Upcoming"))))</f>
        <v>Due Today</v>
      </c>
      <c r="M17" s="13" t="n">
        <f aca="true">IF(L17="Overdue",TODAY()-H17,0)</f>
        <v>0</v>
      </c>
    </row>
    <row r="18" customFormat="false" ht="15" hidden="false" customHeight="false" outlineLevel="0" collapsed="false">
      <c r="B18" s="8" t="s">
        <v>95</v>
      </c>
      <c r="C18" s="8" t="s">
        <v>96</v>
      </c>
      <c r="D18" s="8" t="s">
        <v>15</v>
      </c>
      <c r="E18" s="12" t="n">
        <v>46227</v>
      </c>
      <c r="F18" s="8" t="s">
        <v>44</v>
      </c>
      <c r="G18" s="8" t="s">
        <v>28</v>
      </c>
      <c r="H18" s="12"/>
      <c r="I18" s="8" t="s">
        <v>45</v>
      </c>
      <c r="J18" s="8" t="s">
        <v>56</v>
      </c>
      <c r="K18" s="8" t="s">
        <v>97</v>
      </c>
      <c r="L18" s="13" t="str">
        <f aca="true">IF(OR(G18="Converted",G18="Do Not Call"),"Completed",IF(H18="","None",IF(H18&lt;TODAY(),"Overdue",IF(H18=TODAY(),"Due Today","Upcoming"))))</f>
        <v>Completed</v>
      </c>
      <c r="M18" s="13" t="n">
        <f aca="true">IF(L18="Overdue",TODAY()-H18,0)</f>
        <v>0</v>
      </c>
    </row>
    <row r="19" customFormat="false" ht="15" hidden="false" customHeight="false" outlineLevel="0" collapsed="false">
      <c r="B19" s="8" t="s">
        <v>98</v>
      </c>
      <c r="C19" s="8" t="s">
        <v>99</v>
      </c>
      <c r="D19" s="8" t="s">
        <v>18</v>
      </c>
      <c r="E19" s="12" t="n">
        <v>46227</v>
      </c>
      <c r="F19" s="8" t="s">
        <v>50</v>
      </c>
      <c r="G19" s="8" t="s">
        <v>16</v>
      </c>
      <c r="H19" s="12" t="n">
        <v>46233</v>
      </c>
      <c r="I19" s="8" t="s">
        <v>60</v>
      </c>
      <c r="J19" s="8" t="s">
        <v>46</v>
      </c>
      <c r="K19" s="8" t="s">
        <v>100</v>
      </c>
      <c r="L19" s="13" t="str">
        <f aca="true">IF(OR(G19="Converted",G19="Do Not Call"),"Completed",IF(H19="","None",IF(H19&lt;TODAY(),"Overdue",IF(H19=TODAY(),"Due Today","Upcoming"))))</f>
        <v>Upcoming</v>
      </c>
      <c r="M19" s="13" t="n">
        <f aca="true">IF(L19="Overdue",TODAY()-H19,0)</f>
        <v>0</v>
      </c>
    </row>
    <row r="20" customFormat="false" ht="15" hidden="false" customHeight="false" outlineLevel="0" collapsed="false">
      <c r="B20" s="8" t="s">
        <v>101</v>
      </c>
      <c r="C20" s="8" t="s">
        <v>102</v>
      </c>
      <c r="D20" s="8" t="s">
        <v>21</v>
      </c>
      <c r="E20" s="12" t="n">
        <v>46228</v>
      </c>
      <c r="F20" s="8" t="s">
        <v>44</v>
      </c>
      <c r="G20" s="8" t="s">
        <v>13</v>
      </c>
      <c r="H20" s="12" t="n">
        <v>46229</v>
      </c>
      <c r="I20" s="8" t="s">
        <v>51</v>
      </c>
      <c r="J20" s="8" t="s">
        <v>52</v>
      </c>
      <c r="K20" s="8" t="s">
        <v>103</v>
      </c>
      <c r="L20" s="13" t="str">
        <f aca="true">IF(OR(G20="Converted",G20="Do Not Call"),"Completed",IF(H20="","None",IF(H20&lt;TODAY(),"Overdue",IF(H20=TODAY(),"Due Today","Upcoming"))))</f>
        <v>Due Today</v>
      </c>
      <c r="M20" s="13" t="n">
        <f aca="true">IF(L20="Overdue",TODAY()-H20,0)</f>
        <v>0</v>
      </c>
    </row>
    <row r="21" customFormat="false" ht="15" hidden="false" customHeight="false" outlineLevel="0" collapsed="false">
      <c r="B21" s="8" t="s">
        <v>104</v>
      </c>
      <c r="C21" s="8" t="s">
        <v>105</v>
      </c>
      <c r="D21" s="8" t="s">
        <v>24</v>
      </c>
      <c r="E21" s="12" t="n">
        <v>46228</v>
      </c>
      <c r="F21" s="8" t="s">
        <v>50</v>
      </c>
      <c r="G21" s="8" t="s">
        <v>22</v>
      </c>
      <c r="H21" s="12" t="n">
        <v>46230</v>
      </c>
      <c r="I21" s="8" t="s">
        <v>45</v>
      </c>
      <c r="J21" s="8" t="s">
        <v>56</v>
      </c>
      <c r="K21" s="8" t="s">
        <v>106</v>
      </c>
      <c r="L21" s="13" t="str">
        <f aca="true">IF(OR(G21="Converted",G21="Do Not Call"),"Completed",IF(H21="","None",IF(H21&lt;TODAY(),"Overdue",IF(H21=TODAY(),"Due Today","Upcoming"))))</f>
        <v>Upcoming</v>
      </c>
      <c r="M21" s="13" t="n">
        <f aca="true">IF(L21="Overdue",TODAY()-H21,0)</f>
        <v>0</v>
      </c>
    </row>
    <row r="22" customFormat="false" ht="15" hidden="false" customHeight="false" outlineLevel="0" collapsed="false">
      <c r="B22" s="8" t="s">
        <v>107</v>
      </c>
      <c r="C22" s="8" t="s">
        <v>108</v>
      </c>
      <c r="D22" s="8" t="s">
        <v>27</v>
      </c>
      <c r="E22" s="12" t="n">
        <v>46228</v>
      </c>
      <c r="F22" s="8" t="s">
        <v>44</v>
      </c>
      <c r="G22" s="8" t="s">
        <v>16</v>
      </c>
      <c r="H22" s="12" t="n">
        <v>46231</v>
      </c>
      <c r="I22" s="8" t="s">
        <v>60</v>
      </c>
      <c r="J22" s="8" t="s">
        <v>46</v>
      </c>
      <c r="K22" s="8" t="s">
        <v>109</v>
      </c>
      <c r="L22" s="13" t="str">
        <f aca="true">IF(OR(G22="Converted",G22="Do Not Call"),"Completed",IF(H22="","None",IF(H22&lt;TODAY(),"Overdue",IF(H22=TODAY(),"Due Today","Upcoming"))))</f>
        <v>Upcoming</v>
      </c>
      <c r="M22" s="13" t="n">
        <f aca="true">IF(L22="Overdue",TODAY()-H22,0)</f>
        <v>0</v>
      </c>
    </row>
  </sheetData>
  <autoFilter ref="B2:M22"/>
  <conditionalFormatting sqref="L3:L22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Today"</formula>
    </cfRule>
    <cfRule type="cellIs" priority="4" operator="equal" aboveAverage="0" equalAverage="0" bottom="0" percent="0" rank="0" text="" dxfId="9">
      <formula>"Completed"</formula>
    </cfRule>
  </conditionalFormatting>
  <conditionalFormatting sqref="I3:I22">
    <cfRule type="cellIs" priority="5" operator="equal" aboveAverage="0" equalAverage="0" bottom="0" percent="0" rank="0" text="" dxfId="7">
      <formula>"High"</formula>
    </cfRule>
  </conditionalFormatting>
  <conditionalFormatting sqref="M3:M22">
    <cfRule type="dataBar" priority="6">
      <dataBar showValue="1" minLength="10" maxLength="90">
        <cfvo type="min" val="0"/>
        <cfvo type="max" val="0"/>
        <color rgb="FF2F6B7A"/>
      </dataBar>
      <extLst>
        <ext xmlns:x14="http://schemas.microsoft.com/office/spreadsheetml/2009/9/main" uri="{B025F937-C7B1-47D3-B67F-A62EFF666E3E}">
          <x14:id>{9A3A3BA0-C03A-4588-B0C7-44C7E8925DE0}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3A3BA0-C03A-4588-B0C7-44C7E8925DE0}">
            <x14:dataBar minLength="10" maxLength="90" axisPosition="none" gradient="true">
              <x14:cfvo type="min"/>
              <x14:cfvo type="max"/>
              <x14:negativeFillColor rgb="FF2F6B7A"/>
              <x14:axisColor rgb="FF000000"/>
            </x14:dataBar>
          </x14:cfRule>
          <xm:sqref>M3:M22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2"/>
  </cols>
  <sheetData>
    <row r="2" customFormat="false" ht="16.15" hidden="false" customHeight="false" outlineLevel="0" collapsed="false">
      <c r="B2" s="14" t="s">
        <v>110</v>
      </c>
    </row>
    <row r="3" customFormat="false" ht="15" hidden="false" customHeight="false" outlineLevel="0" collapsed="false">
      <c r="B3" s="11" t="s">
        <v>38</v>
      </c>
      <c r="C3" s="11" t="s">
        <v>31</v>
      </c>
      <c r="D3" s="11" t="s">
        <v>32</v>
      </c>
      <c r="E3" s="11" t="s">
        <v>33</v>
      </c>
      <c r="F3" s="11" t="s">
        <v>36</v>
      </c>
      <c r="G3" s="11" t="s">
        <v>37</v>
      </c>
      <c r="H3" s="11" t="s">
        <v>111</v>
      </c>
      <c r="I3" s="11" t="s">
        <v>41</v>
      </c>
    </row>
    <row r="4" customFormat="false" ht="15" hidden="false" customHeight="false" outlineLevel="0" collapsed="false">
      <c r="B4" s="13" t="str">
        <f aca="false">IF(OR(Call_Log!L3="Overdue",Call_Log!L3="Due Today"),Call_Log!I3,"")</f>
        <v>Medium</v>
      </c>
      <c r="C4" s="15" t="str">
        <f aca="false">IF(OR(Call_Log!L3="Overdue",Call_Log!L3="Due Today"),Call_Log!B3,"")</f>
        <v>Maria Gonzalez</v>
      </c>
      <c r="D4" s="13" t="str">
        <f aca="false">IF(OR(Call_Log!L3="Overdue",Call_Log!L3="Due Today"),Call_Log!C3,"")</f>
        <v>(267) 555-0142</v>
      </c>
      <c r="E4" s="15" t="str">
        <f aca="false">IF(OR(Call_Log!L3="Overdue",Call_Log!L3="Due Today"),Call_Log!D3,"")</f>
        <v>Credit Card Promo</v>
      </c>
      <c r="F4" s="13" t="str">
        <f aca="false">IF(OR(Call_Log!L3="Overdue",Call_Log!L3="Due Today"),Call_Log!G3,"")</f>
        <v>Left Voicemail</v>
      </c>
      <c r="G4" s="16" t="n">
        <f aca="false">IF(OR(Call_Log!L3="Overdue",Call_Log!L3="Due Today"),Call_Log!H3,"")</f>
        <v>46226</v>
      </c>
      <c r="H4" s="13" t="str">
        <f aca="false">IF(OR(Call_Log!L3="Overdue",Call_Log!L3="Due Today"),Call_Log!L3,"")</f>
        <v>Overdue</v>
      </c>
      <c r="I4" s="17" t="n">
        <f aca="false">IF(OR(Call_Log!L3="Overdue",Call_Log!L3="Due Today"),Call_Log!M3,"")</f>
        <v>3</v>
      </c>
    </row>
    <row r="5" customFormat="false" ht="15" hidden="false" customHeight="false" outlineLevel="0" collapsed="false">
      <c r="B5" s="13" t="str">
        <f aca="false">IF(OR(Call_Log!L4="Overdue",Call_Log!L4="Due Today"),Call_Log!I4,"")</f>
        <v>High</v>
      </c>
      <c r="C5" s="15" t="str">
        <f aca="false">IF(OR(Call_Log!L4="Overdue",Call_Log!L4="Due Today"),Call_Log!B4,"")</f>
        <v>James Whitfield</v>
      </c>
      <c r="D5" s="13" t="str">
        <f aca="false">IF(OR(Call_Log!L4="Overdue",Call_Log!L4="Due Today"),Call_Log!C4,"")</f>
        <v>(215) 555-0198</v>
      </c>
      <c r="E5" s="15" t="str">
        <f aca="false">IF(OR(Call_Log!L4="Overdue",Call_Log!L4="Due Today"),Call_Log!D4,"")</f>
        <v>CD Rate Campaign</v>
      </c>
      <c r="F5" s="13" t="str">
        <f aca="false">IF(OR(Call_Log!L4="Overdue",Call_Log!L4="Due Today"),Call_Log!G4,"")</f>
        <v>Interested</v>
      </c>
      <c r="G5" s="16" t="n">
        <f aca="false">IF(OR(Call_Log!L4="Overdue",Call_Log!L4="Due Today"),Call_Log!H4,"")</f>
        <v>46228</v>
      </c>
      <c r="H5" s="13" t="str">
        <f aca="false">IF(OR(Call_Log!L4="Overdue",Call_Log!L4="Due Today"),Call_Log!L4,"")</f>
        <v>Overdue</v>
      </c>
      <c r="I5" s="17" t="n">
        <f aca="false">IF(OR(Call_Log!L4="Overdue",Call_Log!L4="Due Today"),Call_Log!M4,"")</f>
        <v>1</v>
      </c>
    </row>
    <row r="6" customFormat="false" ht="15" hidden="false" customHeight="false" outlineLevel="0" collapsed="false">
      <c r="B6" s="13" t="str">
        <f aca="false">IF(OR(Call_Log!L5="Overdue",Call_Log!L5="Due Today"),Call_Log!I5,"")</f>
        <v>Medium</v>
      </c>
      <c r="C6" s="15" t="str">
        <f aca="false">IF(OR(Call_Log!L5="Overdue",Call_Log!L5="Due Today"),Call_Log!B5,"")</f>
        <v>Priya Patel</v>
      </c>
      <c r="D6" s="13" t="str">
        <f aca="false">IF(OR(Call_Log!L5="Overdue",Call_Log!L5="Due Today"),Call_Log!C5,"")</f>
        <v>(610) 555-0173</v>
      </c>
      <c r="E6" s="15" t="str">
        <f aca="false">IF(OR(Call_Log!L5="Overdue",Call_Log!L5="Due Today"),Call_Log!D5,"")</f>
        <v>Mortgage Refi</v>
      </c>
      <c r="F6" s="13" t="str">
        <f aca="false">IF(OR(Call_Log!L5="Overdue",Call_Log!L5="Due Today"),Call_Log!G5,"")</f>
        <v>Callback Scheduled</v>
      </c>
      <c r="G6" s="16" t="n">
        <f aca="false">IF(OR(Call_Log!L5="Overdue",Call_Log!L5="Due Today"),Call_Log!H5,"")</f>
        <v>46229</v>
      </c>
      <c r="H6" s="13" t="str">
        <f aca="false">IF(OR(Call_Log!L5="Overdue",Call_Log!L5="Due Today"),Call_Log!L5,"")</f>
        <v>Due Today</v>
      </c>
      <c r="I6" s="17" t="n">
        <f aca="false">IF(OR(Call_Log!L5="Overdue",Call_Log!L5="Due Today"),Call_Log!M5,"")</f>
        <v>0</v>
      </c>
    </row>
    <row r="7" customFormat="false" ht="15" hidden="false" customHeight="false" outlineLevel="0" collapsed="false">
      <c r="B7" s="13" t="str">
        <f aca="false">IF(OR(Call_Log!L6="Overdue",Call_Log!L6="Due Today"),Call_Log!I6,"")</f>
        <v/>
      </c>
      <c r="C7" s="15" t="str">
        <f aca="false">IF(OR(Call_Log!L6="Overdue",Call_Log!L6="Due Today"),Call_Log!B6,"")</f>
        <v/>
      </c>
      <c r="D7" s="13" t="str">
        <f aca="false">IF(OR(Call_Log!L6="Overdue",Call_Log!L6="Due Today"),Call_Log!C6,"")</f>
        <v/>
      </c>
      <c r="E7" s="15" t="str">
        <f aca="false">IF(OR(Call_Log!L6="Overdue",Call_Log!L6="Due Today"),Call_Log!D6,"")</f>
        <v/>
      </c>
      <c r="F7" s="13" t="str">
        <f aca="false">IF(OR(Call_Log!L6="Overdue",Call_Log!L6="Due Today"),Call_Log!G6,"")</f>
        <v/>
      </c>
      <c r="G7" s="16" t="str">
        <f aca="false">IF(OR(Call_Log!L6="Overdue",Call_Log!L6="Due Today"),Call_Log!H6,"")</f>
        <v/>
      </c>
      <c r="H7" s="13" t="str">
        <f aca="false">IF(OR(Call_Log!L6="Overdue",Call_Log!L6="Due Today"),Call_Log!L6,"")</f>
        <v/>
      </c>
      <c r="I7" s="17" t="str">
        <f aca="false">IF(OR(Call_Log!L6="Overdue",Call_Log!L6="Due Today"),Call_Log!M6,"")</f>
        <v/>
      </c>
    </row>
    <row r="8" customFormat="false" ht="15" hidden="false" customHeight="false" outlineLevel="0" collapsed="false">
      <c r="B8" s="13" t="str">
        <f aca="false">IF(OR(Call_Log!L7="Overdue",Call_Log!L7="Due Today"),Call_Log!I7,"")</f>
        <v/>
      </c>
      <c r="C8" s="15" t="str">
        <f aca="false">IF(OR(Call_Log!L7="Overdue",Call_Log!L7="Due Today"),Call_Log!B7,"")</f>
        <v/>
      </c>
      <c r="D8" s="13" t="str">
        <f aca="false">IF(OR(Call_Log!L7="Overdue",Call_Log!L7="Due Today"),Call_Log!C7,"")</f>
        <v/>
      </c>
      <c r="E8" s="15" t="str">
        <f aca="false">IF(OR(Call_Log!L7="Overdue",Call_Log!L7="Due Today"),Call_Log!D7,"")</f>
        <v/>
      </c>
      <c r="F8" s="13" t="str">
        <f aca="false">IF(OR(Call_Log!L7="Overdue",Call_Log!L7="Due Today"),Call_Log!G7,"")</f>
        <v/>
      </c>
      <c r="G8" s="16" t="str">
        <f aca="false">IF(OR(Call_Log!L7="Overdue",Call_Log!L7="Due Today"),Call_Log!H7,"")</f>
        <v/>
      </c>
      <c r="H8" s="13" t="str">
        <f aca="false">IF(OR(Call_Log!L7="Overdue",Call_Log!L7="Due Today"),Call_Log!L7,"")</f>
        <v/>
      </c>
      <c r="I8" s="17" t="str">
        <f aca="false">IF(OR(Call_Log!L7="Overdue",Call_Log!L7="Due Today"),Call_Log!M7,"")</f>
        <v/>
      </c>
    </row>
    <row r="9" customFormat="false" ht="15" hidden="false" customHeight="false" outlineLevel="0" collapsed="false">
      <c r="B9" s="13" t="str">
        <f aca="false">IF(OR(Call_Log!L8="Overdue",Call_Log!L8="Due Today"),Call_Log!I8,"")</f>
        <v/>
      </c>
      <c r="C9" s="15" t="str">
        <f aca="false">IF(OR(Call_Log!L8="Overdue",Call_Log!L8="Due Today"),Call_Log!B8,"")</f>
        <v/>
      </c>
      <c r="D9" s="13" t="str">
        <f aca="false">IF(OR(Call_Log!L8="Overdue",Call_Log!L8="Due Today"),Call_Log!C8,"")</f>
        <v/>
      </c>
      <c r="E9" s="15" t="str">
        <f aca="false">IF(OR(Call_Log!L8="Overdue",Call_Log!L8="Due Today"),Call_Log!D8,"")</f>
        <v/>
      </c>
      <c r="F9" s="13" t="str">
        <f aca="false">IF(OR(Call_Log!L8="Overdue",Call_Log!L8="Due Today"),Call_Log!G8,"")</f>
        <v/>
      </c>
      <c r="G9" s="16" t="str">
        <f aca="false">IF(OR(Call_Log!L8="Overdue",Call_Log!L8="Due Today"),Call_Log!H8,"")</f>
        <v/>
      </c>
      <c r="H9" s="13" t="str">
        <f aca="false">IF(OR(Call_Log!L8="Overdue",Call_Log!L8="Due Today"),Call_Log!L8,"")</f>
        <v/>
      </c>
      <c r="I9" s="17" t="str">
        <f aca="false">IF(OR(Call_Log!L8="Overdue",Call_Log!L8="Due Today"),Call_Log!M8,"")</f>
        <v/>
      </c>
    </row>
    <row r="10" customFormat="false" ht="15" hidden="false" customHeight="false" outlineLevel="0" collapsed="false">
      <c r="B10" s="13" t="str">
        <f aca="false">IF(OR(Call_Log!L9="Overdue",Call_Log!L9="Due Today"),Call_Log!I9,"")</f>
        <v/>
      </c>
      <c r="C10" s="15" t="str">
        <f aca="false">IF(OR(Call_Log!L9="Overdue",Call_Log!L9="Due Today"),Call_Log!B9,"")</f>
        <v/>
      </c>
      <c r="D10" s="13" t="str">
        <f aca="false">IF(OR(Call_Log!L9="Overdue",Call_Log!L9="Due Today"),Call_Log!C9,"")</f>
        <v/>
      </c>
      <c r="E10" s="15" t="str">
        <f aca="false">IF(OR(Call_Log!L9="Overdue",Call_Log!L9="Due Today"),Call_Log!D9,"")</f>
        <v/>
      </c>
      <c r="F10" s="13" t="str">
        <f aca="false">IF(OR(Call_Log!L9="Overdue",Call_Log!L9="Due Today"),Call_Log!G9,"")</f>
        <v/>
      </c>
      <c r="G10" s="16" t="str">
        <f aca="false">IF(OR(Call_Log!L9="Overdue",Call_Log!L9="Due Today"),Call_Log!H9,"")</f>
        <v/>
      </c>
      <c r="H10" s="13" t="str">
        <f aca="false">IF(OR(Call_Log!L9="Overdue",Call_Log!L9="Due Today"),Call_Log!L9,"")</f>
        <v/>
      </c>
      <c r="I10" s="17" t="str">
        <f aca="false">IF(OR(Call_Log!L9="Overdue",Call_Log!L9="Due Today"),Call_Log!M9,"")</f>
        <v/>
      </c>
    </row>
    <row r="11" customFormat="false" ht="15" hidden="false" customHeight="false" outlineLevel="0" collapsed="false">
      <c r="B11" s="13" t="str">
        <f aca="false">IF(OR(Call_Log!L10="Overdue",Call_Log!L10="Due Today"),Call_Log!I10,"")</f>
        <v/>
      </c>
      <c r="C11" s="15" t="str">
        <f aca="false">IF(OR(Call_Log!L10="Overdue",Call_Log!L10="Due Today"),Call_Log!B10,"")</f>
        <v/>
      </c>
      <c r="D11" s="13" t="str">
        <f aca="false">IF(OR(Call_Log!L10="Overdue",Call_Log!L10="Due Today"),Call_Log!C10,"")</f>
        <v/>
      </c>
      <c r="E11" s="15" t="str">
        <f aca="false">IF(OR(Call_Log!L10="Overdue",Call_Log!L10="Due Today"),Call_Log!D10,"")</f>
        <v/>
      </c>
      <c r="F11" s="13" t="str">
        <f aca="false">IF(OR(Call_Log!L10="Overdue",Call_Log!L10="Due Today"),Call_Log!G10,"")</f>
        <v/>
      </c>
      <c r="G11" s="16" t="str">
        <f aca="false">IF(OR(Call_Log!L10="Overdue",Call_Log!L10="Due Today"),Call_Log!H10,"")</f>
        <v/>
      </c>
      <c r="H11" s="13" t="str">
        <f aca="false">IF(OR(Call_Log!L10="Overdue",Call_Log!L10="Due Today"),Call_Log!L10,"")</f>
        <v/>
      </c>
      <c r="I11" s="17" t="str">
        <f aca="false">IF(OR(Call_Log!L10="Overdue",Call_Log!L10="Due Today"),Call_Log!M10,"")</f>
        <v/>
      </c>
    </row>
    <row r="12" customFormat="false" ht="15" hidden="false" customHeight="false" outlineLevel="0" collapsed="false">
      <c r="B12" s="13" t="str">
        <f aca="false">IF(OR(Call_Log!L11="Overdue",Call_Log!L11="Due Today"),Call_Log!I11,"")</f>
        <v>High</v>
      </c>
      <c r="C12" s="15" t="str">
        <f aca="false">IF(OR(Call_Log!L11="Overdue",Call_Log!L11="Due Today"),Call_Log!B11,"")</f>
        <v>Aisha Williams</v>
      </c>
      <c r="D12" s="13" t="str">
        <f aca="false">IF(OR(Call_Log!L11="Overdue",Call_Log!L11="Due Today"),Call_Log!C11,"")</f>
        <v>(484) 555-0177</v>
      </c>
      <c r="E12" s="15" t="str">
        <f aca="false">IF(OR(Call_Log!L11="Overdue",Call_Log!L11="Due Today"),Call_Log!D11,"")</f>
        <v>Wealth Management Intro</v>
      </c>
      <c r="F12" s="13" t="str">
        <f aca="false">IF(OR(Call_Log!L11="Overdue",Call_Log!L11="Due Today"),Call_Log!G11,"")</f>
        <v>Callback Scheduled</v>
      </c>
      <c r="G12" s="16" t="n">
        <f aca="false">IF(OR(Call_Log!L11="Overdue",Call_Log!L11="Due Today"),Call_Log!H11,"")</f>
        <v>46229</v>
      </c>
      <c r="H12" s="13" t="str">
        <f aca="false">IF(OR(Call_Log!L11="Overdue",Call_Log!L11="Due Today"),Call_Log!L11,"")</f>
        <v>Due Today</v>
      </c>
      <c r="I12" s="17" t="n">
        <f aca="false">IF(OR(Call_Log!L11="Overdue",Call_Log!L11="Due Today"),Call_Log!M11,"")</f>
        <v>0</v>
      </c>
    </row>
    <row r="13" customFormat="false" ht="15" hidden="false" customHeight="false" outlineLevel="0" collapsed="false">
      <c r="B13" s="13" t="str">
        <f aca="false">IF(OR(Call_Log!L12="Overdue",Call_Log!L12="Due Today"),Call_Log!I12,"")</f>
        <v>Medium</v>
      </c>
      <c r="C13" s="15" t="str">
        <f aca="false">IF(OR(Call_Log!L12="Overdue",Call_Log!L12="Due Today"),Call_Log!B12,"")</f>
        <v>Thomas Nguyen</v>
      </c>
      <c r="D13" s="13" t="str">
        <f aca="false">IF(OR(Call_Log!L12="Overdue",Call_Log!L12="Due Today"),Call_Log!C12,"")</f>
        <v>(267) 555-0146</v>
      </c>
      <c r="E13" s="15" t="str">
        <f aca="false">IF(OR(Call_Log!L12="Overdue",Call_Log!L12="Due Today"),Call_Log!D12,"")</f>
        <v>Digital Banking Onboarding</v>
      </c>
      <c r="F13" s="13" t="str">
        <f aca="false">IF(OR(Call_Log!L12="Overdue",Call_Log!L12="Due Today"),Call_Log!G12,"")</f>
        <v>Left Voicemail</v>
      </c>
      <c r="G13" s="16" t="n">
        <f aca="false">IF(OR(Call_Log!L12="Overdue",Call_Log!L12="Due Today"),Call_Log!H12,"")</f>
        <v>46227</v>
      </c>
      <c r="H13" s="13" t="str">
        <f aca="false">IF(OR(Call_Log!L12="Overdue",Call_Log!L12="Due Today"),Call_Log!L12,"")</f>
        <v>Overdue</v>
      </c>
      <c r="I13" s="17" t="n">
        <f aca="false">IF(OR(Call_Log!L12="Overdue",Call_Log!L12="Due Today"),Call_Log!M12,"")</f>
        <v>2</v>
      </c>
    </row>
    <row r="14" customFormat="false" ht="15" hidden="false" customHeight="false" outlineLevel="0" collapsed="false">
      <c r="B14" s="13" t="str">
        <f aca="false">IF(OR(Call_Log!L13="Overdue",Call_Log!L13="Due Today"),Call_Log!I13,"")</f>
        <v/>
      </c>
      <c r="C14" s="15" t="str">
        <f aca="false">IF(OR(Call_Log!L13="Overdue",Call_Log!L13="Due Today"),Call_Log!B13,"")</f>
        <v/>
      </c>
      <c r="D14" s="13" t="str">
        <f aca="false">IF(OR(Call_Log!L13="Overdue",Call_Log!L13="Due Today"),Call_Log!C13,"")</f>
        <v/>
      </c>
      <c r="E14" s="15" t="str">
        <f aca="false">IF(OR(Call_Log!L13="Overdue",Call_Log!L13="Due Today"),Call_Log!D13,"")</f>
        <v/>
      </c>
      <c r="F14" s="13" t="str">
        <f aca="false">IF(OR(Call_Log!L13="Overdue",Call_Log!L13="Due Today"),Call_Log!G13,"")</f>
        <v/>
      </c>
      <c r="G14" s="16" t="str">
        <f aca="false">IF(OR(Call_Log!L13="Overdue",Call_Log!L13="Due Today"),Call_Log!H13,"")</f>
        <v/>
      </c>
      <c r="H14" s="13" t="str">
        <f aca="false">IF(OR(Call_Log!L13="Overdue",Call_Log!L13="Due Today"),Call_Log!L13,"")</f>
        <v/>
      </c>
      <c r="I14" s="17" t="str">
        <f aca="false">IF(OR(Call_Log!L13="Overdue",Call_Log!L13="Due Today"),Call_Log!M13,"")</f>
        <v/>
      </c>
    </row>
    <row r="15" customFormat="false" ht="15" hidden="false" customHeight="false" outlineLevel="0" collapsed="false">
      <c r="B15" s="13" t="str">
        <f aca="false">IF(OR(Call_Log!L14="Overdue",Call_Log!L14="Due Today"),Call_Log!I14,"")</f>
        <v/>
      </c>
      <c r="C15" s="15" t="str">
        <f aca="false">IF(OR(Call_Log!L14="Overdue",Call_Log!L14="Due Today"),Call_Log!B14,"")</f>
        <v/>
      </c>
      <c r="D15" s="13" t="str">
        <f aca="false">IF(OR(Call_Log!L14="Overdue",Call_Log!L14="Due Today"),Call_Log!C14,"")</f>
        <v/>
      </c>
      <c r="E15" s="15" t="str">
        <f aca="false">IF(OR(Call_Log!L14="Overdue",Call_Log!L14="Due Today"),Call_Log!D14,"")</f>
        <v/>
      </c>
      <c r="F15" s="13" t="str">
        <f aca="false">IF(OR(Call_Log!L14="Overdue",Call_Log!L14="Due Today"),Call_Log!G14,"")</f>
        <v/>
      </c>
      <c r="G15" s="16" t="str">
        <f aca="false">IF(OR(Call_Log!L14="Overdue",Call_Log!L14="Due Today"),Call_Log!H14,"")</f>
        <v/>
      </c>
      <c r="H15" s="13" t="str">
        <f aca="false">IF(OR(Call_Log!L14="Overdue",Call_Log!L14="Due Today"),Call_Log!L14,"")</f>
        <v/>
      </c>
      <c r="I15" s="17" t="str">
        <f aca="false">IF(OR(Call_Log!L14="Overdue",Call_Log!L14="Due Today"),Call_Log!M14,"")</f>
        <v/>
      </c>
    </row>
    <row r="16" customFormat="false" ht="15" hidden="false" customHeight="false" outlineLevel="0" collapsed="false">
      <c r="B16" s="13" t="str">
        <f aca="false">IF(OR(Call_Log!L15="Overdue",Call_Log!L15="Due Today"),Call_Log!I15,"")</f>
        <v/>
      </c>
      <c r="C16" s="15" t="str">
        <f aca="false">IF(OR(Call_Log!L15="Overdue",Call_Log!L15="Due Today"),Call_Log!B15,"")</f>
        <v/>
      </c>
      <c r="D16" s="13" t="str">
        <f aca="false">IF(OR(Call_Log!L15="Overdue",Call_Log!L15="Due Today"),Call_Log!C15,"")</f>
        <v/>
      </c>
      <c r="E16" s="15" t="str">
        <f aca="false">IF(OR(Call_Log!L15="Overdue",Call_Log!L15="Due Today"),Call_Log!D15,"")</f>
        <v/>
      </c>
      <c r="F16" s="13" t="str">
        <f aca="false">IF(OR(Call_Log!L15="Overdue",Call_Log!L15="Due Today"),Call_Log!G15,"")</f>
        <v/>
      </c>
      <c r="G16" s="16" t="str">
        <f aca="false">IF(OR(Call_Log!L15="Overdue",Call_Log!L15="Due Today"),Call_Log!H15,"")</f>
        <v/>
      </c>
      <c r="H16" s="13" t="str">
        <f aca="false">IF(OR(Call_Log!L15="Overdue",Call_Log!L15="Due Today"),Call_Log!L15,"")</f>
        <v/>
      </c>
      <c r="I16" s="17" t="str">
        <f aca="false">IF(OR(Call_Log!L15="Overdue",Call_Log!L15="Due Today"),Call_Log!M15,"")</f>
        <v/>
      </c>
    </row>
    <row r="17" customFormat="false" ht="15" hidden="false" customHeight="false" outlineLevel="0" collapsed="false">
      <c r="B17" s="13" t="str">
        <f aca="false">IF(OR(Call_Log!L16="Overdue",Call_Log!L16="Due Today"),Call_Log!I16,"")</f>
        <v/>
      </c>
      <c r="C17" s="15" t="str">
        <f aca="false">IF(OR(Call_Log!L16="Overdue",Call_Log!L16="Due Today"),Call_Log!B16,"")</f>
        <v/>
      </c>
      <c r="D17" s="13" t="str">
        <f aca="false">IF(OR(Call_Log!L16="Overdue",Call_Log!L16="Due Today"),Call_Log!C16,"")</f>
        <v/>
      </c>
      <c r="E17" s="15" t="str">
        <f aca="false">IF(OR(Call_Log!L16="Overdue",Call_Log!L16="Due Today"),Call_Log!D16,"")</f>
        <v/>
      </c>
      <c r="F17" s="13" t="str">
        <f aca="false">IF(OR(Call_Log!L16="Overdue",Call_Log!L16="Due Today"),Call_Log!G16,"")</f>
        <v/>
      </c>
      <c r="G17" s="16" t="str">
        <f aca="false">IF(OR(Call_Log!L16="Overdue",Call_Log!L16="Due Today"),Call_Log!H16,"")</f>
        <v/>
      </c>
      <c r="H17" s="13" t="str">
        <f aca="false">IF(OR(Call_Log!L16="Overdue",Call_Log!L16="Due Today"),Call_Log!L16,"")</f>
        <v/>
      </c>
      <c r="I17" s="17" t="str">
        <f aca="false">IF(OR(Call_Log!L16="Overdue",Call_Log!L16="Due Today"),Call_Log!M16,"")</f>
        <v/>
      </c>
    </row>
    <row r="18" customFormat="false" ht="15" hidden="false" customHeight="false" outlineLevel="0" collapsed="false">
      <c r="B18" s="13" t="str">
        <f aca="false">IF(OR(Call_Log!L17="Overdue",Call_Log!L17="Due Today"),Call_Log!I17,"")</f>
        <v>Medium</v>
      </c>
      <c r="C18" s="15" t="str">
        <f aca="false">IF(OR(Call_Log!L17="Overdue",Call_Log!L17="Due Today"),Call_Log!B17,"")</f>
        <v>Rachel Goldman</v>
      </c>
      <c r="D18" s="13" t="str">
        <f aca="false">IF(OR(Call_Log!L17="Overdue",Call_Log!L17="Due Today"),Call_Log!C17,"")</f>
        <v>(215) 555-0159</v>
      </c>
      <c r="E18" s="15" t="str">
        <f aca="false">IF(OR(Call_Log!L17="Overdue",Call_Log!L17="Due Today"),Call_Log!D17,"")</f>
        <v>Digital Banking Onboarding</v>
      </c>
      <c r="F18" s="13" t="str">
        <f aca="false">IF(OR(Call_Log!L17="Overdue",Call_Log!L17="Due Today"),Call_Log!G17,"")</f>
        <v>Callback Scheduled</v>
      </c>
      <c r="G18" s="16" t="n">
        <f aca="false">IF(OR(Call_Log!L17="Overdue",Call_Log!L17="Due Today"),Call_Log!H17,"")</f>
        <v>46229</v>
      </c>
      <c r="H18" s="13" t="str">
        <f aca="false">IF(OR(Call_Log!L17="Overdue",Call_Log!L17="Due Today"),Call_Log!L17,"")</f>
        <v>Due Today</v>
      </c>
      <c r="I18" s="17" t="n">
        <f aca="false">IF(OR(Call_Log!L17="Overdue",Call_Log!L17="Due Today"),Call_Log!M17,"")</f>
        <v>0</v>
      </c>
    </row>
    <row r="19" customFormat="false" ht="15" hidden="false" customHeight="false" outlineLevel="0" collapsed="false">
      <c r="B19" s="13" t="str">
        <f aca="false">IF(OR(Call_Log!L18="Overdue",Call_Log!L18="Due Today"),Call_Log!I18,"")</f>
        <v/>
      </c>
      <c r="C19" s="15" t="str">
        <f aca="false">IF(OR(Call_Log!L18="Overdue",Call_Log!L18="Due Today"),Call_Log!B18,"")</f>
        <v/>
      </c>
      <c r="D19" s="13" t="str">
        <f aca="false">IF(OR(Call_Log!L18="Overdue",Call_Log!L18="Due Today"),Call_Log!C18,"")</f>
        <v/>
      </c>
      <c r="E19" s="15" t="str">
        <f aca="false">IF(OR(Call_Log!L18="Overdue",Call_Log!L18="Due Today"),Call_Log!D18,"")</f>
        <v/>
      </c>
      <c r="F19" s="13" t="str">
        <f aca="false">IF(OR(Call_Log!L18="Overdue",Call_Log!L18="Due Today"),Call_Log!G18,"")</f>
        <v/>
      </c>
      <c r="G19" s="16" t="str">
        <f aca="false">IF(OR(Call_Log!L18="Overdue",Call_Log!L18="Due Today"),Call_Log!H18,"")</f>
        <v/>
      </c>
      <c r="H19" s="13" t="str">
        <f aca="false">IF(OR(Call_Log!L18="Overdue",Call_Log!L18="Due Today"),Call_Log!L18,"")</f>
        <v/>
      </c>
      <c r="I19" s="17" t="str">
        <f aca="false">IF(OR(Call_Log!L18="Overdue",Call_Log!L18="Due Today"),Call_Log!M18,"")</f>
        <v/>
      </c>
    </row>
    <row r="20" customFormat="false" ht="15" hidden="false" customHeight="false" outlineLevel="0" collapsed="false">
      <c r="B20" s="13" t="str">
        <f aca="false">IF(OR(Call_Log!L19="Overdue",Call_Log!L19="Due Today"),Call_Log!I19,"")</f>
        <v/>
      </c>
      <c r="C20" s="15" t="str">
        <f aca="false">IF(OR(Call_Log!L19="Overdue",Call_Log!L19="Due Today"),Call_Log!B19,"")</f>
        <v/>
      </c>
      <c r="D20" s="13" t="str">
        <f aca="false">IF(OR(Call_Log!L19="Overdue",Call_Log!L19="Due Today"),Call_Log!C19,"")</f>
        <v/>
      </c>
      <c r="E20" s="15" t="str">
        <f aca="false">IF(OR(Call_Log!L19="Overdue",Call_Log!L19="Due Today"),Call_Log!D19,"")</f>
        <v/>
      </c>
      <c r="F20" s="13" t="str">
        <f aca="false">IF(OR(Call_Log!L19="Overdue",Call_Log!L19="Due Today"),Call_Log!G19,"")</f>
        <v/>
      </c>
      <c r="G20" s="16" t="str">
        <f aca="false">IF(OR(Call_Log!L19="Overdue",Call_Log!L19="Due Today"),Call_Log!H19,"")</f>
        <v/>
      </c>
      <c r="H20" s="13" t="str">
        <f aca="false">IF(OR(Call_Log!L19="Overdue",Call_Log!L19="Due Today"),Call_Log!L19,"")</f>
        <v/>
      </c>
      <c r="I20" s="17" t="str">
        <f aca="false">IF(OR(Call_Log!L19="Overdue",Call_Log!L19="Due Today"),Call_Log!M19,"")</f>
        <v/>
      </c>
    </row>
    <row r="21" customFormat="false" ht="15" hidden="false" customHeight="false" outlineLevel="0" collapsed="false">
      <c r="B21" s="13" t="str">
        <f aca="false">IF(OR(Call_Log!L20="Overdue",Call_Log!L20="Due Today"),Call_Log!I20,"")</f>
        <v>High</v>
      </c>
      <c r="C21" s="15" t="str">
        <f aca="false">IF(OR(Call_Log!L20="Overdue",Call_Log!L20="Due Today"),Call_Log!B20,"")</f>
        <v>Brian Sullivan</v>
      </c>
      <c r="D21" s="13" t="str">
        <f aca="false">IF(OR(Call_Log!L20="Overdue",Call_Log!L20="Due Today"),Call_Log!C20,"")</f>
        <v>(267) 555-0170</v>
      </c>
      <c r="E21" s="15" t="str">
        <f aca="false">IF(OR(Call_Log!L20="Overdue",Call_Log!L20="Due Today"),Call_Log!D20,"")</f>
        <v>Mortgage Refi</v>
      </c>
      <c r="F21" s="13" t="str">
        <f aca="false">IF(OR(Call_Log!L20="Overdue",Call_Log!L20="Due Today"),Call_Log!G20,"")</f>
        <v>No Answer</v>
      </c>
      <c r="G21" s="16" t="n">
        <f aca="false">IF(OR(Call_Log!L20="Overdue",Call_Log!L20="Due Today"),Call_Log!H20,"")</f>
        <v>46229</v>
      </c>
      <c r="H21" s="13" t="str">
        <f aca="false">IF(OR(Call_Log!L20="Overdue",Call_Log!L20="Due Today"),Call_Log!L20,"")</f>
        <v>Due Today</v>
      </c>
      <c r="I21" s="17" t="n">
        <f aca="false">IF(OR(Call_Log!L20="Overdue",Call_Log!L20="Due Today"),Call_Log!M20,"")</f>
        <v>0</v>
      </c>
    </row>
    <row r="22" customFormat="false" ht="15" hidden="false" customHeight="false" outlineLevel="0" collapsed="false">
      <c r="B22" s="13" t="str">
        <f aca="false">IF(OR(Call_Log!L21="Overdue",Call_Log!L21="Due Today"),Call_Log!I21,"")</f>
        <v/>
      </c>
      <c r="C22" s="15" t="str">
        <f aca="false">IF(OR(Call_Log!L21="Overdue",Call_Log!L21="Due Today"),Call_Log!B21,"")</f>
        <v/>
      </c>
      <c r="D22" s="13" t="str">
        <f aca="false">IF(OR(Call_Log!L21="Overdue",Call_Log!L21="Due Today"),Call_Log!C21,"")</f>
        <v/>
      </c>
      <c r="E22" s="15" t="str">
        <f aca="false">IF(OR(Call_Log!L21="Overdue",Call_Log!L21="Due Today"),Call_Log!D21,"")</f>
        <v/>
      </c>
      <c r="F22" s="13" t="str">
        <f aca="false">IF(OR(Call_Log!L21="Overdue",Call_Log!L21="Due Today"),Call_Log!G21,"")</f>
        <v/>
      </c>
      <c r="G22" s="16" t="str">
        <f aca="false">IF(OR(Call_Log!L21="Overdue",Call_Log!L21="Due Today"),Call_Log!H21,"")</f>
        <v/>
      </c>
      <c r="H22" s="13" t="str">
        <f aca="false">IF(OR(Call_Log!L21="Overdue",Call_Log!L21="Due Today"),Call_Log!L21,"")</f>
        <v/>
      </c>
      <c r="I22" s="17" t="str">
        <f aca="false">IF(OR(Call_Log!L21="Overdue",Call_Log!L21="Due Today"),Call_Log!M21,"")</f>
        <v/>
      </c>
    </row>
    <row r="23" customFormat="false" ht="15" hidden="false" customHeight="false" outlineLevel="0" collapsed="false">
      <c r="B23" s="13" t="str">
        <f aca="false">IF(OR(Call_Log!L22="Overdue",Call_Log!L22="Due Today"),Call_Log!I22,"")</f>
        <v/>
      </c>
      <c r="C23" s="15" t="str">
        <f aca="false">IF(OR(Call_Log!L22="Overdue",Call_Log!L22="Due Today"),Call_Log!B22,"")</f>
        <v/>
      </c>
      <c r="D23" s="13" t="str">
        <f aca="false">IF(OR(Call_Log!L22="Overdue",Call_Log!L22="Due Today"),Call_Log!C22,"")</f>
        <v/>
      </c>
      <c r="E23" s="15" t="str">
        <f aca="false">IF(OR(Call_Log!L22="Overdue",Call_Log!L22="Due Today"),Call_Log!D22,"")</f>
        <v/>
      </c>
      <c r="F23" s="13" t="str">
        <f aca="false">IF(OR(Call_Log!L22="Overdue",Call_Log!L22="Due Today"),Call_Log!G22,"")</f>
        <v/>
      </c>
      <c r="G23" s="16" t="str">
        <f aca="false">IF(OR(Call_Log!L22="Overdue",Call_Log!L22="Due Today"),Call_Log!H22,"")</f>
        <v/>
      </c>
      <c r="H23" s="13" t="str">
        <f aca="false">IF(OR(Call_Log!L22="Overdue",Call_Log!L22="Due Today"),Call_Log!L22,"")</f>
        <v/>
      </c>
      <c r="I23" s="17" t="str">
        <f aca="false">IF(OR(Call_Log!L22="Overdue",Call_Log!L22="Due Today"),Call_Log!M22,"")</f>
        <v/>
      </c>
    </row>
  </sheetData>
  <autoFilter ref="B3:I23"/>
  <conditionalFormatting sqref="H4:H23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Today"</formula>
    </cfRule>
  </conditionalFormatting>
  <conditionalFormatting sqref="B4:B23">
    <cfRule type="cellIs" priority="4" operator="equal" aboveAverage="0" equalAverage="0" bottom="0" percent="0" rank="0" text="" dxfId="7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2026-07-26T16:07:17Z</dcterms:created>
  <dc:creator>openpyxl</dc:creator>
  <dc:description/>
  <dc:language>en-US</dc:language>
  <cp:lastModifiedBy/>
  <dcterms:modified xsi:type="dcterms:W3CDTF">2026-07-26T16:07:18Z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